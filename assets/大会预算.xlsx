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<sst xmlns="http://schemas.openxmlformats.org/spreadsheetml/2006/main" count="41" uniqueCount="39">
  <si>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项目类别</t>
  </si>
  <si>
    <t>规格</t>
  </si>
  <si>
    <t>预估费用 (西法 CFA)</t>
  </si>
  <si>
    <t>预估费用 (美金 USD)</t>
  </si>
  <si>
    <t>舞台音响大屏</t>
  </si>
  <si>
    <t>包含搭建、全套线阵列设备及调音大屏</t>
  </si>
  <si>
    <t>表演与艺人</t>
  </si>
  <si>
    <r>
      <rPr>
        <sz val="10"/>
        <color theme="1"/>
        <rFont val="宋体"/>
        <charset val="134"/>
      </rPr>
      <t>多哥顶流艺人演唱</t>
    </r>
    <r>
      <rPr>
        <sz val="10"/>
        <color theme="1"/>
        <rFont val="Arial"/>
        <charset val="134"/>
      </rPr>
      <t xml:space="preserve"> + </t>
    </r>
    <r>
      <rPr>
        <sz val="10"/>
        <color theme="1"/>
        <rFont val="宋体"/>
        <charset val="134"/>
      </rPr>
      <t>非洲传统战鼓舞蹈队</t>
    </r>
  </si>
  <si>
    <t>供电保障</t>
  </si>
  <si>
    <t>主备两台大型静音发电机及燃油费</t>
  </si>
  <si>
    <t>摄像与媒体</t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</si>
  <si>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机位现场大屏直播团队</t>
    </r>
    <r>
      <rPr>
        <sz val="10"/>
        <color theme="1"/>
        <rFont val="Arial"/>
        <charset val="134"/>
      </rPr>
      <t xml:space="preserve"> + TVT</t>
    </r>
    <r>
      <rPr>
        <sz val="10"/>
        <color theme="1"/>
        <rFont val="宋体"/>
        <charset val="134"/>
      </rPr>
      <t>电视台公关发稿费</t>
    </r>
  </si>
  <si>
    <t>VIP 接待</t>
  </si>
  <si>
    <t>政府官员及集团高管专属休息室冷餐、高端饮水与特服</t>
  </si>
  <si>
    <t>医疗与急救</t>
  </si>
  <si>
    <r>
      <rPr>
        <sz val="10"/>
        <color theme="1"/>
        <rFont val="宋体"/>
        <charset val="134"/>
      </rPr>
      <t>洛美红十字会现场驻点</t>
    </r>
    <r>
      <rPr>
        <sz val="10"/>
        <color theme="1"/>
        <rFont val="Arial"/>
        <charset val="134"/>
      </rPr>
      <t xml:space="preserve"> + 2</t>
    </r>
    <r>
      <rPr>
        <sz val="10"/>
        <color theme="1"/>
        <rFont val="宋体"/>
        <charset val="134"/>
      </rPr>
      <t>台救护车待命</t>
    </r>
  </si>
  <si>
    <t>场地保洁</t>
  </si>
  <si>
    <t>雇佣专业团队进行万人散场后的连夜深度清理</t>
  </si>
  <si>
    <t>场地租赁</t>
  </si>
  <si>
    <t>BBS OMNISPORT 或同级体育馆（含进退场期）</t>
  </si>
  <si>
    <t>暂定</t>
  </si>
  <si>
    <t>座椅租赁</t>
  </si>
  <si>
    <t>10,000把普通座椅 + 核心区高端软包椅</t>
  </si>
  <si>
    <t>安保防护栏</t>
  </si>
  <si>
    <t>隔离舞台、VIP通道和引导1万人流的铁栅栏</t>
  </si>
  <si>
    <t>安保团队</t>
  </si>
  <si>
    <r>
      <rPr>
        <sz val="10"/>
        <color theme="1"/>
        <rFont val="Arial"/>
        <charset val="134"/>
      </rPr>
      <t>100</t>
    </r>
    <r>
      <rPr>
        <sz val="10"/>
        <color theme="1"/>
        <rFont val="宋体"/>
        <charset val="134"/>
      </rPr>
      <t>人本地安保公司</t>
    </r>
    <r>
      <rPr>
        <sz val="10"/>
        <color theme="1"/>
        <rFont val="Arial"/>
        <charset val="134"/>
      </rPr>
      <t xml:space="preserve"> + </t>
    </r>
    <r>
      <rPr>
        <sz val="10"/>
        <color theme="1"/>
        <rFont val="宋体"/>
        <charset val="134"/>
      </rPr>
      <t>外围宪兵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交警疏导津贴</t>
    </r>
  </si>
  <si>
    <t>现场装饰</t>
  </si>
  <si>
    <t>巨型喷绘、VIP区红毯、舞台包边、指引牌及氛围灯带</t>
  </si>
  <si>
    <t>物料周边</t>
  </si>
  <si>
    <t>门票，旗帜，证书奖杯等（国内订购）</t>
  </si>
  <si>
    <t>等待报价</t>
  </si>
  <si>
    <t>饮水补给</t>
  </si>
  <si>
    <t>大众区袋装水(Pure Water) + 高级经销商瓶装水</t>
  </si>
  <si>
    <t>不可预见费</t>
  </si>
  <si>
    <t>备用金，应对突发采购或临时疏通关系</t>
  </si>
  <si>
    <t>总计预估</t>
  </si>
  <si>
    <t>整体预估</t>
  </si>
  <si>
    <t>65000-70000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</si>
</sst>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3" fontId="1" fillId="0" borderId="1" xfId="0" applyNumberFormat="1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16" sqref="B16"/>
    </sheetView>
  </sheetViews>
  <sheetFormatPr defaultColWidth="8.72727272727273" defaultRowHeight="14" outlineLevelCol="3"/>
  <cols>
    <col min="1" max="1" width="8.72727272727273" style="1"/>
    <col min="2" max="2" width="27.0909090909091" style="1" customWidth="1"/>
    <col min="3" max="3" width="10.7272727272727" style="1" customWidth="1"/>
    <col min="4" max="4" width="19.5454545454545" style="1" customWidth="1"/>
    <col min="5" max="16384" width="8.72727272727273" style="1"/>
  </cols>
  <sheetData>
    <row r="1" ht="26.75" spans="1:4">
      <c r="A1" s="2" t="s">
        <v>0</v>
      </c>
      <c r="B1" s="3" t="s">
        <v>1</v>
      </c>
      <c r="C1" s="2" t="s">
        <v>2</v>
      </c>
      <c r="D1" s="4" t="s">
        <v>3</v>
      </c>
    </row>
    <row r="2" ht="26.75" spans="1:4">
      <c r="A2" s="2" t="s">
        <v>4</v>
      </c>
      <c r="B2" s="3" t="s">
        <v>5</v>
      </c>
      <c r="C2" s="5">
        <v>25000000</v>
      </c>
      <c r="D2" s="5">
        <f>C2/660</f>
        <v>37878.7878787879</v>
      </c>
    </row>
    <row r="3" ht="26.75" spans="1:4">
      <c r="A3" s="2" t="s">
        <v>6</v>
      </c>
      <c r="B3" s="3" t="s">
        <v>7</v>
      </c>
      <c r="C3" s="5">
        <v>1000000</v>
      </c>
      <c r="D3" s="5">
        <f t="shared" ref="D3:D15" si="0">C3/660</f>
        <v>1515.15151515152</v>
      </c>
    </row>
    <row r="4" ht="26.75" spans="1:4">
      <c r="A4" s="2" t="s">
        <v>8</v>
      </c>
      <c r="B4" s="3" t="s">
        <v>9</v>
      </c>
      <c r="C4" s="5">
        <v>1000000</v>
      </c>
      <c r="D4" s="5">
        <f t="shared" si="0"/>
        <v>1515.15151515152</v>
      </c>
    </row>
    <row r="5" ht="26.75" spans="1:4">
      <c r="A5" s="2" t="s">
        <v>10</v>
      </c>
      <c r="B5" s="2" t="s">
        <v>11</v>
      </c>
      <c r="C5" s="5">
        <v>1500000</v>
      </c>
      <c r="D5" s="5">
        <f t="shared" si="0"/>
        <v>2272.72727272727</v>
      </c>
    </row>
    <row r="6" ht="26.75" spans="1:4">
      <c r="A6" s="2" t="s">
        <v>12</v>
      </c>
      <c r="B6" s="3" t="s">
        <v>13</v>
      </c>
      <c r="C6" s="5">
        <v>800000</v>
      </c>
      <c r="D6" s="5">
        <f t="shared" si="0"/>
        <v>1212.12121212121</v>
      </c>
    </row>
    <row r="7" ht="26.75" spans="1:4">
      <c r="A7" s="2" t="s">
        <v>14</v>
      </c>
      <c r="B7" s="3" t="s">
        <v>15</v>
      </c>
      <c r="C7" s="5">
        <v>300000</v>
      </c>
      <c r="D7" s="5">
        <f t="shared" si="0"/>
        <v>454.545454545455</v>
      </c>
    </row>
    <row r="8" ht="26.75" spans="1:4">
      <c r="A8" s="2" t="s">
        <v>16</v>
      </c>
      <c r="B8" s="3" t="s">
        <v>17</v>
      </c>
      <c r="C8" s="5">
        <v>500000</v>
      </c>
      <c r="D8" s="5">
        <f t="shared" si="0"/>
        <v>757.575757575758</v>
      </c>
    </row>
    <row r="9" ht="26.75" spans="1:4">
      <c r="A9" s="2" t="s">
        <v>18</v>
      </c>
      <c r="B9" s="2" t="s">
        <v>19</v>
      </c>
      <c r="C9" s="6" t="s">
        <v>20</v>
      </c>
      <c r="D9" s="6" t="s">
        <v>20</v>
      </c>
    </row>
    <row r="10" ht="26.75" spans="1:4">
      <c r="A10" s="2" t="s">
        <v>21</v>
      </c>
      <c r="B10" s="2" t="s">
        <v>22</v>
      </c>
      <c r="C10" s="5">
        <v>2000000</v>
      </c>
      <c r="D10" s="5">
        <f t="shared" si="0"/>
        <v>3030.30303030303</v>
      </c>
    </row>
    <row r="11" ht="26.75" spans="1:4">
      <c r="A11" s="2" t="s">
        <v>23</v>
      </c>
      <c r="B11" s="2" t="s">
        <v>24</v>
      </c>
      <c r="C11" s="5">
        <v>1000000</v>
      </c>
      <c r="D11" s="5">
        <f t="shared" si="0"/>
        <v>1515.15151515152</v>
      </c>
    </row>
    <row r="12" ht="26.75" spans="1:4">
      <c r="A12" s="2" t="s">
        <v>25</v>
      </c>
      <c r="B12" s="2" t="s">
        <v>26</v>
      </c>
      <c r="C12" s="5">
        <v>1500000</v>
      </c>
      <c r="D12" s="5">
        <f t="shared" si="0"/>
        <v>2272.72727272727</v>
      </c>
    </row>
    <row r="13" ht="26.75" spans="1:4">
      <c r="A13" s="2" t="s">
        <v>27</v>
      </c>
      <c r="B13" s="2" t="s">
        <v>28</v>
      </c>
      <c r="C13" s="5">
        <v>600000</v>
      </c>
      <c r="D13" s="5">
        <f t="shared" si="0"/>
        <v>909.090909090909</v>
      </c>
    </row>
    <row r="14" ht="26.75" spans="1:4">
      <c r="A14" s="3" t="s">
        <v>29</v>
      </c>
      <c r="B14" s="3" t="s">
        <v>30</v>
      </c>
      <c r="C14" s="6" t="s">
        <v>31</v>
      </c>
      <c r="D14" s="6" t="s">
        <v>31</v>
      </c>
    </row>
    <row r="15" ht="26.75" spans="1:4">
      <c r="A15" s="2" t="s">
        <v>32</v>
      </c>
      <c r="B15" s="2" t="s">
        <v>33</v>
      </c>
      <c r="C15" s="5">
        <v>1000000</v>
      </c>
      <c r="D15" s="5">
        <f>C15/660</f>
        <v>1515.15151515152</v>
      </c>
    </row>
    <row r="16" ht="26.75" spans="1:4">
      <c r="A16" s="2" t="s">
        <v>34</v>
      </c>
      <c r="B16" s="3" t="s">
        <v>35</v>
      </c>
      <c r="C16" s="5">
        <v>1200000</v>
      </c>
      <c r="D16" s="5">
        <f>C16/660</f>
        <v>1818.18181818182</v>
      </c>
    </row>
    <row r="17" spans="1:4">
      <c r="A17" s="2" t="s">
        <v>36</v>
      </c>
      <c r="B17" s="2"/>
      <c r="C17" s="5">
        <f>SUM(C2:C16)</f>
        <v>37400000</v>
      </c>
      <c r="D17" s="5">
        <f>SUM(D2:D16)</f>
        <v>56666.6666666667</v>
      </c>
    </row>
    <row r="18" spans="1:4">
      <c r="B18" s="7" t="s">
        <v>37</v>
      </c>
      <c r="C18" s="8"/>
      <c r="D18" s="9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mingd</dc:creator>
  <cp:lastModifiedBy>D</cp:lastModifiedBy>
  <dcterms:created xsi:type="dcterms:W3CDTF">2026-03-25T11:42:00Z</dcterms:created>
  <dcterms:modified xsi:type="dcterms:W3CDTF">2026-03-25T12:17:55Z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AF44EFBF9CA6412496515E9DDF1589DA_11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